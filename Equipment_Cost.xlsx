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yoon\Desktop\ManuLab\"/>
    </mc:Choice>
  </mc:AlternateContent>
  <xr:revisionPtr revIDLastSave="0" documentId="13_ncr:1_{1D931488-AD40-47A4-9F58-22731936F6C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Instructions" sheetId="1" r:id="rId1"/>
    <sheet name="Inputs" sheetId="2" r:id="rId2"/>
    <sheet name="Equip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E2" i="3"/>
  <c r="E9" i="3"/>
  <c r="E8" i="3"/>
  <c r="E7" i="3"/>
  <c r="E6" i="3"/>
  <c r="E5" i="3"/>
  <c r="E4" i="3"/>
  <c r="E3" i="3"/>
  <c r="E10" i="3"/>
  <c r="B8" i="2" s="1"/>
  <c r="B10" i="2"/>
</calcChain>
</file>

<file path=xl/sharedStrings.xml><?xml version="1.0" encoding="utf-8"?>
<sst xmlns="http://schemas.openxmlformats.org/spreadsheetml/2006/main" count="51" uniqueCount="51">
  <si>
    <t>Goal: practice coding a simple equipment CAPEX scaling + depreciation calculator.</t>
  </si>
  <si>
    <t>What you have:</t>
  </si>
  <si>
    <t>- Tab 'Equipment' contains a short equipment list with reference costs at 5 GWh and scaling exponents.</t>
  </si>
  <si>
    <t>- Tab 'Inputs' contains the user inputs (production capacity and equipment life) and expected outputs.</t>
  </si>
  <si>
    <t>What to build (in Python):</t>
  </si>
  <si>
    <t>1) Read the 'Equipment' tab.</t>
  </si>
  <si>
    <t>2) Ask the user for:</t>
  </si>
  <si>
    <t xml:space="preserve">   - production_capacity_GWh (float)</t>
  </si>
  <si>
    <t xml:space="preserve">   - equipment_life_years (int/float)</t>
  </si>
  <si>
    <t>3) For each equipment row, compute scaled_cost_MUSD using power-law scaling:</t>
  </si>
  <si>
    <t xml:space="preserve">   scaled_cost_MUSD = ref_cost_MUSD * (production_capacity_GWh / ref_capacity_GWh) ** exponent</t>
  </si>
  <si>
    <t xml:space="preserve">   where ref_capacity_GWh = 5.</t>
  </si>
  <si>
    <t>4) Sum scaled_cost_MUSD across equipment to get total_capex_MUSD.</t>
  </si>
  <si>
    <t>5) Compute straight-line depreciation:</t>
  </si>
  <si>
    <t xml:space="preserve">   annual_depr_USD = (total_capex_MUSD * 1e6) / equipment_life_years</t>
  </si>
  <si>
    <t>6) Compute depreciation per unit production (optional):</t>
  </si>
  <si>
    <t xml:space="preserve">   depr_per_kWh_USD = annual_depr_USD / (production_capacity_GWh * 1e6)</t>
  </si>
  <si>
    <t>Stretch goals:</t>
  </si>
  <si>
    <t>- Support multiple scenarios (different capacities/years) and output a small summary table.</t>
  </si>
  <si>
    <t>- Validate inputs (no negatives, years &gt; 0).</t>
  </si>
  <si>
    <t>- Write results back to a new Excel file (or add a 'Results' tab).</t>
  </si>
  <si>
    <t>User inputs</t>
  </si>
  <si>
    <t>Production capacity (GWh)</t>
  </si>
  <si>
    <t>Equipment life (years)</t>
  </si>
  <si>
    <t>Reference capacity (GWh)</t>
  </si>
  <si>
    <t>Computed outputs</t>
  </si>
  <si>
    <t>Total scaled CAPEX (M$)</t>
  </si>
  <si>
    <t>Annual depreciation (USD/year)</t>
  </si>
  <si>
    <t>Depreciation per kWh (USD/kWh)</t>
  </si>
  <si>
    <t>Process step</t>
  </si>
  <si>
    <t>Equipment</t>
  </si>
  <si>
    <t>Ref cost at 5 GWh (M$)</t>
  </si>
  <si>
    <t>Scaling exponent</t>
  </si>
  <si>
    <t>Scaled cost (M$)</t>
  </si>
  <si>
    <t>Precursor Mixing</t>
  </si>
  <si>
    <t>agitators and pumps</t>
  </si>
  <si>
    <t>Co-precipitation</t>
  </si>
  <si>
    <t>co-precipitation reactor</t>
  </si>
  <si>
    <t>Solid/Liquid Seperation</t>
  </si>
  <si>
    <t>filter press and centrifuge</t>
  </si>
  <si>
    <t>Drying</t>
  </si>
  <si>
    <t>spray/rotary dryer</t>
  </si>
  <si>
    <t>Lithiation</t>
  </si>
  <si>
    <t>kilin</t>
  </si>
  <si>
    <t>Milling</t>
  </si>
  <si>
    <t>jet/ball mill</t>
  </si>
  <si>
    <t>Coating</t>
  </si>
  <si>
    <t>coating equipment</t>
  </si>
  <si>
    <t>Enviromental Controls</t>
  </si>
  <si>
    <t>waste water treatment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</si>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</sst>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opLeftCell="A5" workbookViewId="0">
      <selection activeCell="A24" sqref="A24"/>
    </sheetView>
  </sheetViews>
  <sheetFormatPr defaultRowHeight="14.4" x14ac:dyDescent="0.3"/>
  <cols>
    <col min="1" max="1" width="110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C8" sqref="C8"/>
    </sheetView>
  </sheetViews>
  <sheetFormatPr defaultRowHeight="14.4" x14ac:dyDescent="0.3"/>
  <cols>
    <col min="1" max="1" width="32" customWidth="1"/>
    <col min="2" max="2" width="28" customWidth="1"/>
  </cols>
  <sheetData>
    <row r="1" spans="1:3" ht="15.6" x14ac:dyDescent="0.3">
      <c r="A1" s="1" t="s">
        <v>21</v>
      </c>
    </row>
    <row r="3" spans="1:3" x14ac:dyDescent="0.3">
      <c r="A3" s="2" t="s">
        <v>22</v>
      </c>
      <c r="B3">
        <v>5</v>
      </c>
      <c r="C3">
        <v>3.6</v>
      </c>
    </row>
    <row r="4" spans="1:3" x14ac:dyDescent="0.3">
      <c r="A4" s="2" t="s">
        <v>23</v>
      </c>
      <c r="B4">
        <v>15</v>
      </c>
      <c r="C4">
        <v>15</v>
      </c>
    </row>
    <row r="5" spans="1:3" x14ac:dyDescent="0.3">
      <c r="A5" s="2" t="s">
        <v>24</v>
      </c>
      <c r="B5">
        <v>5</v>
      </c>
      <c r="C5">
        <v>5</v>
      </c>
    </row>
    <row r="7" spans="1:3" ht="15.6" x14ac:dyDescent="0.3">
      <c r="A7" s="1" t="s">
        <v>25</v>
      </c>
    </row>
    <row r="8" spans="1:3" x14ac:dyDescent="0.3">
      <c r="A8" s="2" t="s">
        <v>26</v>
      </c>
      <c r="B8">
        <f>Equipment!$E$10</f>
        <v>2790</v>
      </c>
    </row>
    <row r="9" spans="1:3" x14ac:dyDescent="0.3">
      <c r="A9" s="2" t="s">
        <v>27</v>
      </c>
      <c r="B9">
        <f>B8*1000000/B4</f>
        <v>186000000</v>
      </c>
    </row>
    <row r="10" spans="1:3" x14ac:dyDescent="0.3">
      <c r="A10" s="2" t="s">
        <v>28</v>
      </c>
      <c r="B10">
        <f>B9/(B3*1000000)</f>
        <v>37.200000000000003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F1" sqref="F1"/>
    </sheetView>
  </sheetViews>
  <sheetFormatPr defaultRowHeight="14.4" x14ac:dyDescent="0.3"/>
  <cols>
    <col min="1" max="1" width="22" customWidth="1"/>
    <col min="2" max="2" width="28" customWidth="1"/>
    <col min="3" max="3" width="22" customWidth="1"/>
    <col min="4" max="4" width="16" customWidth="1"/>
    <col min="5" max="5" width="18" customWidth="1"/>
  </cols>
  <sheetData>
    <row r="1" spans="1:5" x14ac:dyDescent="0.3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</row>
    <row r="2" spans="1:5" x14ac:dyDescent="0.3">
      <c r="A2" s="4" t="s">
        <v>34</v>
      </c>
      <c r="B2" s="4" t="s">
        <v>35</v>
      </c>
      <c r="C2" s="4">
        <v>230</v>
      </c>
      <c r="D2" s="4">
        <v>0.6</v>
      </c>
      <c r="E2" s="4">
        <f>C2*(Inputs!$B$3/Inputs!$B$5)^D2</f>
        <v>230</v>
      </c>
    </row>
    <row r="3" spans="1:5" x14ac:dyDescent="0.3">
      <c r="A3" s="4" t="s">
        <v>36</v>
      </c>
      <c r="B3" s="4" t="s">
        <v>37</v>
      </c>
      <c r="C3" s="4">
        <v>550</v>
      </c>
      <c r="D3" s="4">
        <v>0.8</v>
      </c>
      <c r="E3" s="4">
        <f>C3*(Inputs!$B$3/Inputs!$B$5)^D3</f>
        <v>550</v>
      </c>
    </row>
    <row r="4" spans="1:5" x14ac:dyDescent="0.3">
      <c r="A4" s="4" t="s">
        <v>38</v>
      </c>
      <c r="B4" s="4" t="s">
        <v>39</v>
      </c>
      <c r="C4" s="4">
        <v>210</v>
      </c>
      <c r="D4" s="4">
        <v>0.5</v>
      </c>
      <c r="E4" s="4">
        <f>C4*(Inputs!$B$3/Inputs!$B$5)^D4</f>
        <v>210</v>
      </c>
    </row>
    <row r="5" spans="1:5" x14ac:dyDescent="0.3">
      <c r="A5" s="4" t="s">
        <v>40</v>
      </c>
      <c r="B5" s="4" t="s">
        <v>41</v>
      </c>
      <c r="C5" s="4">
        <v>360</v>
      </c>
      <c r="D5" s="4">
        <v>0.7</v>
      </c>
      <c r="E5" s="4">
        <f>C5*(Inputs!$B$3/Inputs!$B$5)^D5</f>
        <v>360</v>
      </c>
    </row>
    <row r="6" spans="1:5" x14ac:dyDescent="0.3">
      <c r="A6" s="4" t="s">
        <v>42</v>
      </c>
      <c r="B6" s="4" t="s">
        <v>43</v>
      </c>
      <c r="C6" s="4">
        <v>530</v>
      </c>
      <c r="D6" s="4">
        <v>0.6</v>
      </c>
      <c r="E6" s="4">
        <f>C6*(Inputs!$B$3/Inputs!$B$5)^D6</f>
        <v>530</v>
      </c>
    </row>
    <row r="7" spans="1:5" x14ac:dyDescent="0.3">
      <c r="A7" s="4" t="s">
        <v>44</v>
      </c>
      <c r="B7" s="4" t="s">
        <v>45</v>
      </c>
      <c r="C7" s="4">
        <v>260</v>
      </c>
      <c r="D7" s="4">
        <v>0.6</v>
      </c>
      <c r="E7" s="4">
        <f>C7*(Inputs!$B$3/Inputs!$B$5)^D7</f>
        <v>260</v>
      </c>
    </row>
    <row r="8" spans="1:5" x14ac:dyDescent="0.3">
      <c r="A8" s="4" t="s">
        <v>46</v>
      </c>
      <c r="B8" s="4" t="s">
        <v>47</v>
      </c>
      <c r="C8" s="4">
        <v>240</v>
      </c>
      <c r="D8" s="4">
        <v>0.6</v>
      </c>
      <c r="E8" s="4">
        <f>C8*(Inputs!$B$3/Inputs!$B$5)^D8</f>
        <v>240</v>
      </c>
    </row>
    <row r="9" spans="1:5" x14ac:dyDescent="0.3">
      <c r="A9" s="4" t="s">
        <v>48</v>
      </c>
      <c r="B9" s="4" t="s">
        <v>49</v>
      </c>
      <c r="C9" s="4">
        <v>410</v>
      </c>
      <c r="D9" s="4">
        <v>0.8</v>
      </c>
      <c r="E9" s="4">
        <f>C9*(Inputs!$B$3/Inputs!$B$5)^D9</f>
        <v>410</v>
      </c>
    </row>
    <row r="10" spans="1:5" x14ac:dyDescent="0.3">
      <c r="A10" s="4"/>
      <c r="B10" s="6"/>
      <c r="C10" s="4"/>
      <c r="D10" s="5" t="s">
        <v>50</v>
      </c>
      <c r="E10" s="5">
        <f>SUM(E2:E9)</f>
        <v>2790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Inputs</vt:lpstr>
      <vt:lpstr>Equipment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Yoon S Lee</cp:lastModifiedBy>
  <cp:revision/>
  <dcterms:created xsi:type="dcterms:W3CDTF">2026-01-16T22:54:06Z</dcterms:created>
  <dcterms:modified xsi:type="dcterms:W3CDTF">2026-01-28T00:14:45Z</dcterms:modified>
  <cp:category/>
  <cp:contentStatus/>
</cp:coreProperties>
</file>